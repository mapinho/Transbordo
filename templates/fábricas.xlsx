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395ae89ea0892a7/Documents/Projects/Comigo/templates/"/>
    </mc:Choice>
  </mc:AlternateContent>
  <xr:revisionPtr revIDLastSave="25" documentId="11_2B59D2BFD340D0F3DE2D31D0593088B352998C05" xr6:coauthVersionLast="47" xr6:coauthVersionMax="47" xr10:uidLastSave="{7A1D7DC5-179E-410A-B0FF-9A8A8422EB8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E2" i="1"/>
  <c r="D3" i="1"/>
  <c r="D2" i="1"/>
  <c r="C3" i="1"/>
  <c r="C2" i="1"/>
  <c r="B3" i="1"/>
  <c r="B2" i="1"/>
</calcChain>
</file>

<file path=xl/sharedStrings.xml><?xml version="1.0" encoding="utf-8"?>
<sst xmlns="http://schemas.openxmlformats.org/spreadsheetml/2006/main" count="9" uniqueCount="9">
  <si>
    <t>nome</t>
  </si>
  <si>
    <t>capacidade_estatica</t>
  </si>
  <si>
    <t>capacidade_esmagamento_diaria</t>
  </si>
  <si>
    <t>capacidade_recebimento_diaria</t>
  </si>
  <si>
    <t>limite_caminhoes</t>
  </si>
  <si>
    <t>carga_media_caminhao</t>
  </si>
  <si>
    <t>estoque_inicial</t>
  </si>
  <si>
    <t>COMPL. INDUSTRIAL</t>
  </si>
  <si>
    <t>PALMEIRAS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</si>
</sst>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J3" sqref="J3"/>
    </sheetView>
  </sheetViews>
  <sheetFormatPr defaultRowHeight="14.4" x14ac:dyDescent="0.3"/>
  <cols>
    <col min="1" max="2" width="18.21875" bestFit="1" customWidth="1"/>
    <col min="3" max="3" width="29.77734375" bestFit="1" customWidth="1"/>
    <col min="4" max="4" width="28.33203125" bestFit="1" customWidth="1"/>
    <col min="5" max="5" width="15.88671875" bestFit="1" customWidth="1"/>
    <col min="6" max="6" width="21.44140625" bestFit="1" customWidth="1"/>
    <col min="7" max="7" width="13.6640625" bestFit="1" customWidth="1"/>
    <col min="9" max="9" width="9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 t="s">
        <v>7</v>
      </c>
      <c r="B2" s="2">
        <f>7600000*60/1000</f>
        <v>456000</v>
      </c>
      <c r="C2" s="2">
        <f>5500*0.95</f>
        <v>5225</v>
      </c>
      <c r="D2" s="2">
        <f>(100000*60/1000)/0.3</f>
        <v>20000</v>
      </c>
      <c r="E2" s="2">
        <f>34+60+120+15+12</f>
        <v>241</v>
      </c>
      <c r="F2" s="2">
        <v>42</v>
      </c>
      <c r="G2" s="2">
        <f>1400000*60/1000</f>
        <v>84000</v>
      </c>
      <c r="I2" s="2"/>
    </row>
    <row r="3" spans="1:9" x14ac:dyDescent="0.3">
      <c r="A3" t="s">
        <v>8</v>
      </c>
      <c r="B3" s="2">
        <f>4500000*60/1000</f>
        <v>270000</v>
      </c>
      <c r="C3" s="2">
        <f>6000*0.95</f>
        <v>5700</v>
      </c>
      <c r="D3" s="2">
        <f>(130000*60/1000)/0.3</f>
        <v>26000</v>
      </c>
      <c r="E3" s="2">
        <v>300</v>
      </c>
      <c r="F3" s="2">
        <v>42</v>
      </c>
      <c r="G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Pinho</cp:lastModifiedBy>
  <dcterms:created xsi:type="dcterms:W3CDTF">2026-04-17T20:15:29Z</dcterms:created>
  <dcterms:modified xsi:type="dcterms:W3CDTF">2026-05-21T17:15:22Z</dcterms:modified>
</cp:coreProperties>
</file>